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Histórico" sheetId="5" state="visible" r:id="rId5"/>
    <sheet xmlns:r="http://schemas.openxmlformats.org/officeDocument/2006/relationships" name="Faltas da migração" sheetId="6" state="visible" r:id="rId6"/>
    <sheet xmlns:r="http://schemas.openxmlformats.org/officeDocument/2006/relationships" name="Campos não migrados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<sst xmlns="http://schemas.openxmlformats.org/spreadsheetml/2006/main" count="201" uniqueCount="185">
  <si>
    <t>Número do Processo</t>
  </si>
  <si>
    <t>Autor(es)</t>
  </si>
  <si>
    <t>Réu(s)</t>
  </si>
  <si>
    <t>Vara</t>
  </si>
  <si>
    <t>Município</t>
  </si>
  <si>
    <t>Tribunal</t>
  </si>
  <si>
    <t>Data do Ajuizamento</t>
  </si>
  <si>
    <t>Área do Direito</t>
  </si>
  <si>
    <t>Matéria Principal</t>
  </si>
  <si>
    <t>Objeto</t>
  </si>
  <si>
    <t>Valor da Causa</t>
  </si>
  <si>
    <t>Andamentos</t>
  </si>
  <si>
    <t>Situação</t>
  </si>
  <si>
    <t>Ativo</t>
  </si>
  <si>
    <t>Valor Arbitrado em Juízo</t>
  </si>
  <si>
    <t>Probabilidade</t>
  </si>
  <si>
    <t>Valor Estimado</t>
  </si>
  <si>
    <t>Valor da Execução</t>
  </si>
  <si>
    <t>Custas Processuais</t>
  </si>
  <si>
    <t>Depósitos Recursais</t>
  </si>
  <si>
    <t>Garantias Processuais</t>
  </si>
  <si>
    <t>Resultado</t>
  </si>
  <si>
    <t>Valor Economizado</t>
  </si>
  <si>
    <t>Data do trânsito em julgado</t>
  </si>
  <si>
    <t>Taxa de resolução (em dias)</t>
  </si>
  <si>
    <t>Houve recurso da empresa?</t>
  </si>
  <si>
    <t>Percentual de êxito</t>
  </si>
  <si>
    <t>Reclamante terceirizado?</t>
  </si>
  <si>
    <t>Outra(s) Parte(s)</t>
  </si>
  <si>
    <t>Momento Atual</t>
  </si>
  <si>
    <t>Último Andamento</t>
  </si>
  <si>
    <t>Data de Citação</t>
  </si>
  <si>
    <t>Fase</t>
  </si>
  <si>
    <t>Classe</t>
  </si>
  <si>
    <t>Assunto</t>
  </si>
  <si>
    <t>Valor do Acordo</t>
  </si>
  <si>
    <t>Observações</t>
  </si>
  <si>
    <t>Passivo Potencial</t>
  </si>
  <si>
    <t>Passivo Potencial Atualizado</t>
  </si>
  <si>
    <t>Ativo Potencial</t>
  </si>
  <si>
    <t>Percentual de Provisão</t>
  </si>
  <si>
    <t>Provisão Constituída</t>
  </si>
  <si>
    <t>Depósito Judicial Realizado?</t>
  </si>
  <si>
    <t>CNPJ da Empresa Processada</t>
  </si>
  <si>
    <t>Pagamento Realizado</t>
  </si>
  <si>
    <t>Justificativa da Probabilidade</t>
  </si>
  <si>
    <t>Grau de Tramitação</t>
  </si>
  <si>
    <t>Parâmetro</t>
  </si>
  <si>
    <t>Valor</t>
  </si>
  <si>
    <t>Número de funcionários (headcount)</t>
  </si>
  <si>
    <t>Usado em 'Litígios por 100 funcionários'.</t>
  </si>
  <si>
    <t>Data de referência</t>
  </si>
  <si>
    <t>Data-base do relatório; usada nos 'novos ajuizamentos em 12 meses'.</t>
  </si>
  <si>
    <t>Fator de correção</t>
  </si>
  <si>
    <t>Multiplica o valor da causa total (vazio = sem correção).</t>
  </si>
  <si>
    <t>Empresas do grupo</t>
  </si>
  <si>
    <t>Nomes separados por ponto e vírgula.</t>
  </si>
  <si>
    <t>Indicador</t>
  </si>
  <si>
    <t>Como é calculado</t>
  </si>
  <si>
    <t>Acervo</t>
  </si>
  <si>
    <t>Total de processos</t>
  </si>
  <si>
    <t>Linhas com número de processo.</t>
  </si>
  <si>
    <t>Processos ativos</t>
  </si>
  <si>
    <t>Coluna Ativo = Sim.</t>
  </si>
  <si>
    <t>Processos encerrados</t>
  </si>
  <si>
    <t>Coluna Ativo = Não.</t>
  </si>
  <si>
    <t>Litígios por 100 funcionários</t>
  </si>
  <si>
    <t>Total de processos ÷ número de funcionários × 100 (precisa do headcount em Parâmetros).</t>
  </si>
  <si>
    <t>Novos ajuizamentos em 12 meses</t>
  </si>
  <si>
    <t>Ajuizados nos 12 meses até a data de referência (Parâmetros).</t>
  </si>
  <si>
    <t>Tempo e recursos</t>
  </si>
  <si>
    <t>Tempo médio de resolução (dias)</t>
  </si>
  <si>
    <t>Média da Taxa de resolução (trânsito em julgado − ajuizamento).</t>
  </si>
  <si>
    <t>Mediana do tempo de resolução (dias)</t>
  </si>
  <si>
    <t>Mediana da Taxa de resolução.</t>
  </si>
  <si>
    <t>Processos com recurso da empresa</t>
  </si>
  <si>
    <t>Coluna Houve recurso da empresa? = Sim.</t>
  </si>
  <si>
    <t>Processos decididos</t>
  </si>
  <si>
    <t>Soma dos cinco desfechos abaixo (não conta extinção sem mérito nem incompetência).</t>
  </si>
  <si>
    <t>Taxa de recurso</t>
  </si>
  <si>
    <t>Processos com recurso da empresa ÷ decididos.</t>
  </si>
  <si>
    <t>Resultados</t>
  </si>
  <si>
    <t>Improcedentes</t>
  </si>
  <si>
    <t>Coluna Resultado = Improcedente.</t>
  </si>
  <si>
    <t>Arquivadas / desistência</t>
  </si>
  <si>
    <t>Coluna Resultado = Arquivado / desistência.</t>
  </si>
  <si>
    <t>Acordos</t>
  </si>
  <si>
    <t>Coluna Resultado = Acordo.</t>
  </si>
  <si>
    <t>Parcialmente procedentes</t>
  </si>
  <si>
    <t>Coluna Resultado = Parcialmente procedente.</t>
  </si>
  <si>
    <t>Procedentes</t>
  </si>
  <si>
    <t>Coluna Resultado = Procedente.</t>
  </si>
  <si>
    <t>Taxa de êxito</t>
  </si>
  <si>
    <t>(Improcedentes + arquivadas) ÷ decididos.</t>
  </si>
  <si>
    <t>% por acordo</t>
  </si>
  <si>
    <t>Acordos ÷ decididos.</t>
  </si>
  <si>
    <t>Financeiro</t>
  </si>
  <si>
    <t>Valor da causa total</t>
  </si>
  <si>
    <t>Soma da coluna Valor da Causa.</t>
  </si>
  <si>
    <t>Valor da causa total corrigido</t>
  </si>
  <si>
    <t>Valor da causa × fator de correção (Parâmetros).</t>
  </si>
  <si>
    <t>Valor da causa dos encerrados</t>
  </si>
  <si>
    <t>Processos com Ativo = Não.</t>
  </si>
  <si>
    <t>Encerrados com valor realizado lançado</t>
  </si>
  <si>
    <t>Têm valor arbitrado ou, se este estiver vazio, valor da execução.</t>
  </si>
  <si>
    <t>Encerrados sem valor lançado (fora da economia)</t>
  </si>
  <si>
    <t>Ficam fora da economia para não inflá-la (acordo sem valor lançado etc.).</t>
  </si>
  <si>
    <t>Valor da causa dos encerrados com valor lançado</t>
  </si>
  <si>
    <t>Base da economia efetiva.</t>
  </si>
  <si>
    <t>Valor realizado dos encerrados</t>
  </si>
  <si>
    <t>Valor arbitrado em juízo, ou o valor da execução quando o arbitrado está vazio.</t>
  </si>
  <si>
    <t>Economia efetiva</t>
  </si>
  <si>
    <t>Valor da causa − valor realizado, só dos encerrados com valor lançado.</t>
  </si>
  <si>
    <t>Contingência</t>
  </si>
  <si>
    <t>Passivo potencial total</t>
  </si>
  <si>
    <t>Soma da coluna Passivo Potencial.</t>
  </si>
  <si>
    <t>Passivo potencial dos processos ativos</t>
  </si>
  <si>
    <t>Passivo Potencial dos processos com Ativo = Sim.</t>
  </si>
  <si>
    <t>Passivo potencial atualizado (encerrados)</t>
  </si>
  <si>
    <t>Soma da coluna Passivo Potencial Atualizado (correção e juros).</t>
  </si>
  <si>
    <t>Provisão constituída total</t>
  </si>
  <si>
    <t>Soma da coluna Provisão Constituída.</t>
  </si>
  <si>
    <t>Ativo potencial total</t>
  </si>
  <si>
    <t>Soma da coluna Ativo Potencial (créditos).</t>
  </si>
  <si>
    <t>Passivo potencial (ativos): perda remota</t>
  </si>
  <si>
    <t>Passivo Potencial dos processos ativos com Probabilidade = Remota.</t>
  </si>
  <si>
    <t>Passivo potencial (ativos): perda possível</t>
  </si>
  <si>
    <t>Passivo Potencial dos processos ativos com Probabilidade = Possível.</t>
  </si>
  <si>
    <t>Passivo potencial (ativos): perda provável</t>
  </si>
  <si>
    <t>Passivo Potencial dos processos ativos com Probabilidade = Provável.</t>
  </si>
  <si>
    <t>Processos com depósito judicial</t>
  </si>
  <si>
    <t>Coluna Depósito Judicial Realizado? = Sim.</t>
  </si>
  <si>
    <t>Total de depósitos judiciais</t>
  </si>
  <si>
    <t>Soma da coluna Depósitos Recursais (valor depositado).</t>
  </si>
  <si>
    <t>Pagamentos realizados</t>
  </si>
  <si>
    <t>Soma da coluna Pagamento Realizado.</t>
  </si>
  <si>
    <t>Valor economizado</t>
  </si>
  <si>
    <t>Soma da coluna Valor Economizado (passivo atualizado − pagamento).</t>
  </si>
  <si>
    <t>Processos por situação</t>
  </si>
  <si>
    <t>Processos</t>
  </si>
  <si>
    <t>Encerrado</t>
  </si>
  <si>
    <t>Suspenso</t>
  </si>
  <si>
    <t>Processos por resultado</t>
  </si>
  <si>
    <t>Procedente</t>
  </si>
  <si>
    <t>Parcialmente procedente</t>
  </si>
  <si>
    <t>Improcedente</t>
  </si>
  <si>
    <t>Acordo</t>
  </si>
  <si>
    <t>Extinto sem resolução de mérito</t>
  </si>
  <si>
    <t>Arquivado / desistência</t>
  </si>
  <si>
    <t>Incompetência declarada</t>
  </si>
  <si>
    <t>Processos por área</t>
  </si>
  <si>
    <t>Trabalhista</t>
  </si>
  <si>
    <t>Cível</t>
  </si>
  <si>
    <t>Consumidor</t>
  </si>
  <si>
    <t>Tributário</t>
  </si>
  <si>
    <t>Administrativo</t>
  </si>
  <si>
    <t>Ambiental</t>
  </si>
  <si>
    <t>Empresarial</t>
  </si>
  <si>
    <t>Imobiliário</t>
  </si>
  <si>
    <t>Contratual</t>
  </si>
  <si>
    <t>Processual</t>
  </si>
  <si>
    <t>Previdenciário</t>
  </si>
  <si>
    <t>Família e Sucessões</t>
  </si>
  <si>
    <t>Processos por probabilidade</t>
  </si>
  <si>
    <t>Possível</t>
  </si>
  <si>
    <t>Provável</t>
  </si>
  <si>
    <t>Remota</t>
  </si>
  <si>
    <t>Passivo potencial dos ativos por probabilidade</t>
  </si>
  <si>
    <t>Valor (R$)</t>
  </si>
  <si>
    <t>Resumo da carteira</t>
  </si>
  <si>
    <t>Ativos</t>
  </si>
  <si>
    <t>Passivo potencial</t>
  </si>
  <si>
    <t>Provisão constituída</t>
  </si>
  <si>
    <t>Data-base</t>
  </si>
  <si>
    <t>Valor da causa</t>
  </si>
  <si>
    <t>Valor estimado</t>
  </si>
  <si>
    <t>Grupo</t>
  </si>
  <si>
    <t>Campo</t>
  </si>
  <si>
    <t>Preenchidos</t>
  </si>
  <si>
    <t>Total</t>
  </si>
  <si>
    <t>Percentual</t>
  </si>
  <si>
    <t>Origem</t>
  </si>
  <si>
    <t>O que fazer</t>
  </si>
  <si>
    <t>Coluna de origem</t>
  </si>
  <si>
    <t>Processo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</si>
</sst>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</font>
    <font>
      <b val="1"/>
      <color rgb="001F4E78"/>
      <sz val="14"/>
    </font>
    <font>
      <b val="1"/>
      <color rgb="00595959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6" fillId="0" borderId="0" pivotButton="0" quotePrefix="0" xfId="0"/>
    <xf numFmtId="165" fontId="6" fillId="0" borderId="0" pivotButton="0" quotePrefix="0" xfId="0"/>
    <xf numFmtId="4" fontId="6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FFC7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C6EFCE"/>
        </patternFill>
      </fill>
    </dxf>
    <dxf>
      <font>
        <color rgb="007F7F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Relationship Id="rIdSst1" Type="http://schemas.openxmlformats.org/officeDocument/2006/relationships/sharedStrings" Target="sharedStrings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Processos por situação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'Indicadores'!$A$50:$A$52</f>
            </numRef>
          </cat>
          <val>
            <numRef>
              <f>'Indicadores'!$B$50:$B$52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Processos por resultado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'Indicadores'!$A$55:$A$61</f>
            </numRef>
          </cat>
          <val>
            <numRef>
              <f>'Indicadores'!$B$55:$B$61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Processos por área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'Indicadores'!$A$64:$A$75</f>
            </numRef>
          </cat>
          <val>
            <numRef>
              <f>'Indicadores'!$B$64:$B$75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Processos por probabilidade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'Indicadores'!$A$78:$A$80</f>
            </numRef>
          </cat>
          <val>
            <numRef>
              <f>'Indicadores'!$B$78:$B$80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Processos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Passivo potencial dos ativos por probabilidade (R$)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'Indicadores'!$A$83:$A$85</f>
            </numRef>
          </cat>
          <val>
            <numRef>
              <f>'Indicadores'!$B$83:$B$85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 acervo (retrato mensal)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</f>
            </numRef>
          </cat>
          <val>
            <numRef>
              <f>'Histórico'!$B$2</f>
            </numRef>
          </val>
        </ser>
        <ser>
          <idx val="1"/>
          <order val="1"/>
          <tx>
            <strRef>
              <f>'Histórico'!C1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</f>
            </numRef>
          </cat>
          <val>
            <numRef>
              <f>'Histórico'!$C$2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/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21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37</row>
      <rowOff>0</rowOff>
    </from>
    <ext cx="504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37</row>
      <rowOff>0</rowOff>
    </from>
    <ext cx="50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rocessos" displayName="tblProcessos" ref="A1:AU2" headerRowCount="1">
  <autoFilter ref="A1:AU2"/>
  <tableColumns count="47">
    <tableColumn id="1" name="Número do Processo"/>
    <tableColumn id="2" name="Autor(es)"/>
    <tableColumn id="3" name="Réu(s)"/>
    <tableColumn id="4" name="Vara"/>
    <tableColumn id="5" name="Município"/>
    <tableColumn id="6" name="Tribunal"/>
    <tableColumn id="7" name="Data do Ajuizamento"/>
    <tableColumn id="8" name="Área do Direito"/>
    <tableColumn id="9" name="Matéria Principal"/>
    <tableColumn id="10" name="Objeto"/>
    <tableColumn id="11" name="Valor da Causa"/>
    <tableColumn id="12" name="Andamentos"/>
    <tableColumn id="13" name="Situação"/>
    <tableColumn id="14" name="Ativo"/>
    <tableColumn id="15" name="Valor Arbitrado em Juízo"/>
    <tableColumn id="16" name="Probabilidade"/>
    <tableColumn id="17" name="Valor Estimado"/>
    <tableColumn id="18" name="Valor da Execução"/>
    <tableColumn id="19" name="Custas Processuais"/>
    <tableColumn id="20" name="Depósitos Recursais"/>
    <tableColumn id="21" name="Garantias Processuais"/>
    <tableColumn id="22" name="Resultado"/>
    <tableColumn id="23" name="Valor Economizado">
      <calculatedColumnFormula>IF(OR(tblProcessos[[#This Row],[Ativo]]&lt;&gt;"Não",tblProcessos[[#This Row],[Valor da Causa]]="",tblProcessos[[#This Row],[Valor Estimado]]=""),"",tblProcessos[[#This Row],[Valor da Causa]]-tblProcessos[[#This Row],[Valor Estimado]])</calculatedColumnFormula>
    </tableColumn>
    <tableColumn id="24" name="Data do trânsito em julgado"/>
    <tableColumn id="25" name="Taxa de resolução (em dias)">
      <calculatedColumnFormula>IF(OR(tblProcessos[[#This Row],[Data do trânsito em julgado]]="",tblProcessos[[#This Row],[Data do Ajuizamento]]=""),"",tblProcessos[[#This Row],[Data do trânsito em julgado]]-tblProcessos[[#This Row],[Data do Ajuizamento]])</calculatedColumnFormula>
    </tableColumn>
    <tableColumn id="26" name="Houve recurso da empresa?"/>
    <tableColumn id="27" name="Percentual de êxito"/>
    <tableColumn id="28" name="Reclamante terceirizado?"/>
    <tableColumn id="29" name="Outra(s) Parte(s)"/>
    <tableColumn id="30" name="Momento Atual"/>
    <tableColumn id="31" name="Último Andamento"/>
    <tableColumn id="32" name="Data de Citação"/>
    <tableColumn id="33" name="Fase"/>
    <tableColumn id="34" name="Classe"/>
    <tableColumn id="35" name="Assunto"/>
    <tableColumn id="36" name="Valor do Acordo"/>
    <tableColumn id="37" name="Observações"/>
    <tableColumn id="38" name="Passivo Potencial"/>
    <tableColumn id="39" name="Passivo Potencial Atualizado"/>
    <tableColumn id="40" name="Ativo Potencial"/>
    <tableColumn id="41" name="Percentual de Provisão"/>
    <tableColumn id="42" name="Provisão Constituída"/>
    <tableColumn id="43" name="Depósito Judicial Realizado?"/>
    <tableColumn id="44" name="CNPJ da Empresa Processada"/>
    <tableColumn id="45" name="Pagamento Realizado"/>
    <tableColumn id="46" name="Justificativa da Probabilidade"/>
    <tableColumn id="47" name="Grau de Tramitação"/>
  </tableColumns>
  <tableStyleInfo name="TableStyleMedium2" showRowStripes="1"/>
</table>
</file>

<file path=xl/tables/table2.xml><?xml version="1.0" encoding="utf-8"?>
<table xmlns="http://schemas.openxmlformats.org/spreadsheetml/2006/main" id="2" name="tblHistorico" displayName="tblHistorico" ref="A1:G2" headerRowCount="1">
  <autoFilter ref="A1:G2"/>
  <tableColumns count="7">
    <tableColumn id="1" name="Data-base"/>
    <tableColumn id="2" name="Total de processos"/>
    <tableColumn id="3" name="Processos ativos"/>
    <tableColumn id="4" name="Processos encerrados"/>
    <tableColumn id="5" name="Valor da causa"/>
    <tableColumn id="6" name="Valor estimado"/>
    <tableColumn id="7" name="Valor economizado"/>
  </tableColumns>
  <tableStyleInfo name="TableStyleMedium2" showRowStripes="1"/>
</table>
</file>

<file path=xl/tables/table3.xml><?xml version="1.0" encoding="utf-8"?>
<table xmlns="http://schemas.openxmlformats.org/spreadsheetml/2006/main" id="3" name="tblFaltas" displayName="tblFaltas" ref="A1:G2" headerRowCount="1">
  <autoFilter ref="A1:G2"/>
  <tableColumns count="7">
    <tableColumn id="1" name="Grupo"/>
    <tableColumn id="2" name="Campo"/>
    <tableColumn id="3" name="Preenchidos"/>
    <tableColumn id="4" name="Total"/>
    <tableColumn id="5" name="Percentual"/>
    <tableColumn id="6" name="Origem"/>
    <tableColumn id="7" name="O que fazer"/>
  </tableColumns>
  <tableStyleInfo name="TableStyleLight9" showRowStripes="1"/>
</table>
</file>

<file path=xl/tables/table4.xml><?xml version="1.0" encoding="utf-8"?>
<table xmlns="http://schemas.openxmlformats.org/spreadsheetml/2006/main" id="4" name="tblNaoMigrados" displayName="tblNaoMigrados" ref="A1:C2" headerRowCount="1">
  <autoFilter ref="A1:C2"/>
  <tableColumns count="3">
    <tableColumn id="1" name="Coluna de origem"/>
    <tableColumn id="2" name="Processo"/>
    <tableColumn id="3" name="Valo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2" customWidth="1" min="4" max="4"/>
    <col width="18" customWidth="1" min="5" max="5"/>
    <col width="16" customWidth="1" min="6" max="6"/>
    <col width="16" customWidth="1" min="7" max="7"/>
    <col width="16" customWidth="1" min="8" max="8"/>
    <col width="26" customWidth="1" min="9" max="9"/>
    <col width="40" customWidth="1" min="10" max="10"/>
    <col width="16" customWidth="1" min="11" max="11"/>
    <col width="70" customWidth="1" min="12" max="12"/>
    <col width="16" customWidth="1" min="13" max="13"/>
    <col width="16" customWidth="1" min="14" max="14"/>
    <col width="18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26" customWidth="1" min="29" max="29"/>
    <col hidden="1" width="34" customWidth="1" min="30" max="30"/>
    <col hidden="1" width="16" customWidth="1" min="31" max="31"/>
    <col hidden="1" width="16" customWidth="1" min="32" max="32"/>
    <col hidden="1" width="16" customWidth="1" min="33" max="33"/>
    <col hidden="1" width="16" customWidth="1" min="34" max="34"/>
    <col hidden="1" width="24" customWidth="1" min="35" max="35"/>
    <col hidden="1" width="16" customWidth="1" min="36" max="36"/>
    <col hidden="1" width="30" customWidth="1" min="37" max="37"/>
    <col hidden="1" width="18" customWidth="1" min="38" max="38"/>
    <col hidden="1" width="20" customWidth="1" min="39" max="39"/>
    <col hidden="1" width="16" customWidth="1" min="40" max="40"/>
    <col hidden="1" width="16" customWidth="1" min="41" max="41"/>
    <col hidden="1" width="18" customWidth="1" min="42" max="42"/>
    <col hidden="1" width="16" customWidth="1" min="43" max="43"/>
    <col hidden="1" width="24" customWidth="1" min="44" max="44"/>
    <col hidden="1" width="18" customWidth="1" min="45" max="45"/>
    <col hidden="1" width="40" customWidth="1" min="46" max="46"/>
    <col hidden="1" width="16" customWidth="1" min="47" max="47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n"/>
      <c r="B2" s="2" t="n"/>
      <c r="C2" s="2" t="n"/>
      <c r="D2" s="2" t="n"/>
      <c r="E2" s="2" t="n"/>
      <c r="F2" s="2" t="n"/>
      <c r="G2" s="3" t="n"/>
      <c r="H2" s="2" t="n"/>
      <c r="I2" s="2" t="n"/>
      <c r="J2" s="4" t="n"/>
      <c r="K2" s="5" t="n"/>
      <c r="L2" s="4" t="n"/>
      <c r="M2" s="2" t="n"/>
      <c r="N2" s="2" t="n"/>
      <c r="O2" s="5" t="n"/>
      <c r="P2" s="2" t="n"/>
      <c r="Q2" s="5" t="n"/>
      <c r="R2" s="5" t="n"/>
      <c r="S2" s="5" t="n"/>
      <c r="T2" s="5" t="n"/>
      <c r="U2" s="5" t="n"/>
      <c r="V2" s="2" t="n"/>
      <c r="W2" s="5">
        <f>IF(OR(tblProcessos[[#This Row],[Ativo]]&lt;&gt;"Não",tblProcessos[[#This Row],[Valor da Causa]]="",tblProcessos[[#This Row],[Valor Estimado]]=""),"",tblProcessos[[#This Row],[Valor da Causa]]-tblProcessos[[#This Row],[Valor Estimado]])</f>
        <v/>
      </c>
      <c r="X2" s="3" t="n"/>
      <c r="Y2" s="6">
        <f>IF(OR(tblProcessos[[#This Row],[Data do trânsito em julgado]]="",tblProcessos[[#This Row],[Data do Ajuizamento]]=""),"",tblProcessos[[#This Row],[Data do trânsito em julgado]]-tblProcessos[[#This Row],[Data do Ajuizamento]])</f>
        <v/>
      </c>
      <c r="Z2" s="2" t="n"/>
      <c r="AA2" s="7" t="n"/>
      <c r="AB2" s="2" t="n"/>
      <c r="AC2" s="2" t="n"/>
      <c r="AD2" s="2" t="n"/>
      <c r="AE2" s="3" t="n"/>
      <c r="AF2" s="3" t="n"/>
      <c r="AG2" s="2" t="n"/>
      <c r="AH2" s="2" t="n"/>
      <c r="AI2" s="2" t="n"/>
      <c r="AJ2" s="5" t="n"/>
      <c r="AK2" s="2" t="n"/>
      <c r="AL2" s="5" t="n"/>
      <c r="AM2" s="5" t="n"/>
      <c r="AN2" s="5" t="n"/>
      <c r="AO2" s="8" t="n"/>
      <c r="AP2" s="5" t="n"/>
      <c r="AQ2" s="2" t="n"/>
      <c r="AR2" s="2" t="n"/>
      <c r="AS2" s="5" t="n"/>
      <c r="AT2" s="2" t="n"/>
      <c r="AU2" s="2" t="n"/>
    </row>
  </sheetData>
  <conditionalFormatting sqref="P2">
    <cfRule type="expression" priority="1" dxfId="0">
      <formula>$P2="Provável"</formula>
    </cfRule>
    <cfRule type="expression" priority="2" dxfId="1">
      <formula>$P2="Possível"</formula>
    </cfRule>
    <cfRule type="expression" priority="3" dxfId="2">
      <formula>$P2="Remota"</formula>
    </cfRule>
  </conditionalFormatting>
  <conditionalFormatting sqref="A2:AU2">
    <cfRule type="expression" priority="4" dxfId="3">
      <formula>$N2="Não"</formula>
    </cfRule>
  </conditionalFormatting>
  <dataValidations count="11">
    <dataValidation sqref="M2" showDropDown="0" showInputMessage="0" showErrorMessage="1" allowBlank="1" errorTitle="Situação" error="Valor fora da lista padrão. Manter assim?" type="list" errorStyle="warning">
      <formula1>"Ativo,Encerrado,Suspenso"</formula1>
    </dataValidation>
    <dataValidation sqref="P2" showDropDown="0" showInputMessage="0" showErrorMessage="1" allowBlank="1" errorTitle="Probabilidade" error="Valor fora da lista padrão. Manter assim?" type="list" errorStyle="warning">
      <formula1>"Possível,Provável,Remota"</formula1>
    </dataValidation>
    <dataValidation sqref="V2" showDropDown="0" showInputMessage="0" showErrorMessage="1" allowBlank="1" errorTitle="Resultado" error="Valor fora da lista padrão. Manter assim?" type="list" errorStyle="warning">
      <formula1>"Procedente,Parcialmente procedente,Improcedente,Acordo,Extinto sem resolução de mérito,Arquivado / desistência,Incompetência declarada"</formula1>
    </dataValidation>
    <dataValidation sqref="H2" showDropDown="0" showInputMessage="0" showErrorMessage="1" allowBlank="1" errorTitle="Área do Direito" error="Valor fora da lista padrão. Manter assim?" type="list" errorStyle="warning">
      <formula1>"Trabalhista,Cível,Consumidor,Tributário,Administrativo,Ambiental,Empresarial,Imobiliário,Contratual,Processual,Previdenciário,Família e Sucessões"</formula1>
    </dataValidation>
    <dataValidation sqref="N2" showDropDown="0" showInputMessage="0" showErrorMessage="1" allowBlank="1" errorTitle="Ativo" error="Valor fora da lista padrão. Manter assim?" type="list" errorStyle="warning">
      <formula1>"Sim,Não"</formula1>
    </dataValidation>
    <dataValidation sqref="Z2" showDropDown="0" showInputMessage="0" showErrorMessage="1" allowBlank="1" errorTitle="Houve recurso da empresa?" error="Valor fora da lista padrão. Manter assim?" type="list" errorStyle="warning">
      <formula1>"Sim,Não"</formula1>
    </dataValidation>
    <dataValidation sqref="AB2" showDropDown="0" showInputMessage="0" showErrorMessage="1" allowBlank="1" errorTitle="Reclamante terceirizado?" error="Valor fora da lista padrão. Manter assim?" type="list" errorStyle="warning">
      <formula1>"Sim,Não"</formula1>
    </dataValidation>
    <dataValidation sqref="AQ2" showDropDown="0" showInputMessage="0" showErrorMessage="1" allowBlank="1" errorTitle="Depósito Judicial Realizado?" error="Valor fora da lista padrão. Manter assim?" type="list" errorStyle="warning">
      <formula1>"Sim,Não"</formula1>
    </dataValidation>
    <dataValidation sqref="AU2" showDropDown="0" showInputMessage="0" showErrorMessage="1" allowBlank="1" errorTitle="Grau de Tramitação" error="Valor fora da lista padrão. Manter assim?" type="list" errorStyle="warning">
      <formula1>"1º grau,2º grau,TST"</formula1>
    </dataValidation>
    <dataValidation sqref="AA2" showDropDown="0" showInputMessage="0" showErrorMessage="1" allowBlank="1" errorTitle="Percentual de êxito" error="Use uma fração entre 0 e 1 (0,85 = 85%)." type="decimal" errorStyle="warning" operator="between">
      <formula1>0</formula1>
      <formula2>1</formula2>
    </dataValidation>
    <dataValidation sqref="AO2" showDropDown="0" showInputMessage="0" showErrorMessage="1" allowBlank="1" errorTitle="Percentual de Provisão" error="Use uma fração entre 0 e 1 (0,85 = 85%)." type="decimal" errorStyle="warning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70" customWidth="1" min="3" max="3"/>
  </cols>
  <sheetData>
    <row r="1">
      <c r="A1" s="9" t="s">
        <v>47</v>
      </c>
      <c r="B1" s="9" t="s">
        <v>48</v>
      </c>
    </row>
    <row r="2">
      <c r="A2" t="s">
        <v>49</v>
      </c>
      <c r="C2" t="s">
        <v>50</v>
      </c>
    </row>
    <row r="3">
      <c r="A3" t="s">
        <v>51</v>
      </c>
      <c r="B3" s="10" t="n"/>
      <c r="C3" t="s">
        <v>52</v>
      </c>
    </row>
    <row r="4">
      <c r="A4" t="s">
        <v>53</v>
      </c>
      <c r="C4" t="s">
        <v>54</v>
      </c>
    </row>
    <row r="5">
      <c r="A5" t="s">
        <v>55</v>
      </c>
      <c r="C5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90" customWidth="1" min="3" max="3"/>
  </cols>
  <sheetData>
    <row r="1">
      <c r="A1" s="9" t="s">
        <v>57</v>
      </c>
      <c r="B1" s="9" t="s">
        <v>48</v>
      </c>
      <c r="C1" s="9" t="s">
        <v>58</v>
      </c>
    </row>
    <row r="2">
      <c r="A2" s="11" t="s">
        <v>59</v>
      </c>
    </row>
    <row r="3">
      <c r="A3" t="s">
        <v>60</v>
      </c>
      <c r="B3" s="12">
        <f>COUNTA(tblProcessos[Número do Processo])</f>
        <v/>
      </c>
      <c r="C3" t="s">
        <v>61</v>
      </c>
    </row>
    <row r="4">
      <c r="A4" t="s">
        <v>62</v>
      </c>
      <c r="B4" s="12">
        <f>COUNTIFS(tblProcessos[Ativo],"Sim")</f>
        <v/>
      </c>
      <c r="C4" t="s">
        <v>63</v>
      </c>
    </row>
    <row r="5">
      <c r="A5" t="s">
        <v>64</v>
      </c>
      <c r="B5" s="12">
        <f>COUNTIFS(tblProcessos[Ativo],"Não")</f>
        <v/>
      </c>
      <c r="C5" t="s">
        <v>65</v>
      </c>
    </row>
    <row r="6">
      <c r="A6" t="s">
        <v>66</v>
      </c>
      <c r="B6" s="13">
        <f>IF(N('Parâmetros'!$B$2)&gt;0,B3/'Parâmetros'!$B$2*100,"")</f>
        <v/>
      </c>
      <c r="C6" t="s">
        <v>67</v>
      </c>
    </row>
    <row r="7">
      <c r="A7" t="s">
        <v>68</v>
      </c>
      <c r="B7" s="12">
        <f>IF(N('Parâmetros'!$B$3)&gt;0,COUNTIFS(tblProcessos[Data do Ajuizamento],"&gt;"&amp;EDATE('Parâmetros'!$B$3,-12),tblProcessos[Data do Ajuizamento],"&lt;="&amp;'Parâmetros'!$B$3),"")</f>
        <v/>
      </c>
      <c r="C7" t="s">
        <v>69</v>
      </c>
    </row>
    <row r="9">
      <c r="A9" s="11" t="s">
        <v>70</v>
      </c>
    </row>
    <row r="10">
      <c r="A10" t="s">
        <v>71</v>
      </c>
      <c r="B10" s="13">
        <f>IFERROR(AVERAGE(tblProcessos[[Taxa de resolução (em dias)]]),"")</f>
        <v/>
      </c>
      <c r="C10" t="s">
        <v>72</v>
      </c>
    </row>
    <row r="11">
      <c r="A11" t="s">
        <v>73</v>
      </c>
      <c r="B11" s="13">
        <f>IFERROR(MEDIAN(tblProcessos[[Taxa de resolução (em dias)]]),"")</f>
        <v/>
      </c>
      <c r="C11" t="s">
        <v>74</v>
      </c>
    </row>
    <row r="12">
      <c r="A12" t="s">
        <v>75</v>
      </c>
      <c r="B12" s="12">
        <f>COUNTIFS(tblProcessos[[Houve recurso da empresa?]],"Sim")</f>
        <v/>
      </c>
      <c r="C12" t="s">
        <v>76</v>
      </c>
    </row>
    <row r="13">
      <c r="A13" t="s">
        <v>77</v>
      </c>
      <c r="B13" s="12">
        <f>B17+B18+B19+B20+B21</f>
        <v/>
      </c>
      <c r="C13" t="s">
        <v>78</v>
      </c>
    </row>
    <row r="14">
      <c r="A14" t="s">
        <v>79</v>
      </c>
      <c r="B14" s="14">
        <f>IF(B13&gt;0,B12/B13,"")</f>
        <v/>
      </c>
      <c r="C14" t="s">
        <v>80</v>
      </c>
    </row>
    <row r="16">
      <c r="A16" s="11" t="s">
        <v>81</v>
      </c>
    </row>
    <row r="17">
      <c r="A17" t="s">
        <v>82</v>
      </c>
      <c r="B17" s="12">
        <f>COUNTIFS(tblProcessos[Resultado],"Improcedente")</f>
        <v/>
      </c>
      <c r="C17" t="s">
        <v>83</v>
      </c>
    </row>
    <row r="18">
      <c r="A18" t="s">
        <v>84</v>
      </c>
      <c r="B18" s="12">
        <f>COUNTIFS(tblProcessos[Resultado],"Arquivado / desistência")</f>
        <v/>
      </c>
      <c r="C18" t="s">
        <v>85</v>
      </c>
    </row>
    <row r="19">
      <c r="A19" t="s">
        <v>86</v>
      </c>
      <c r="B19" s="12">
        <f>COUNTIFS(tblProcessos[Resultado],"Acordo")</f>
        <v/>
      </c>
      <c r="C19" t="s">
        <v>87</v>
      </c>
    </row>
    <row r="20">
      <c r="A20" t="s">
        <v>88</v>
      </c>
      <c r="B20" s="12">
        <f>COUNTIFS(tblProcessos[Resultado],"Parcialmente procedente")</f>
        <v/>
      </c>
      <c r="C20" t="s">
        <v>89</v>
      </c>
    </row>
    <row r="21">
      <c r="A21" t="s">
        <v>90</v>
      </c>
      <c r="B21" s="12">
        <f>COUNTIFS(tblProcessos[Resultado],"Procedente")</f>
        <v/>
      </c>
      <c r="C21" t="s">
        <v>91</v>
      </c>
    </row>
    <row r="22">
      <c r="A22" t="s">
        <v>92</v>
      </c>
      <c r="B22" s="14">
        <f>IF(B13&gt;0,(B17+B18)/B13,"")</f>
        <v/>
      </c>
      <c r="C22" t="s">
        <v>93</v>
      </c>
    </row>
    <row r="23">
      <c r="A23" t="s">
        <v>94</v>
      </c>
      <c r="B23" s="14">
        <f>IF(B13&gt;0,B19/B13,"")</f>
        <v/>
      </c>
      <c r="C23" t="s">
        <v>95</v>
      </c>
    </row>
    <row r="25">
      <c r="A25" s="11" t="s">
        <v>96</v>
      </c>
    </row>
    <row r="26">
      <c r="A26" t="s">
        <v>97</v>
      </c>
      <c r="B26" s="15">
        <f>SUM(tblProcessos[Valor da Causa])</f>
        <v/>
      </c>
      <c r="C26" t="s">
        <v>98</v>
      </c>
    </row>
    <row r="27">
      <c r="A27" t="s">
        <v>99</v>
      </c>
      <c r="B27" s="15">
        <f>IF(N('Parâmetros'!$B$4)&gt;0,B26*'Parâmetros'!$B$4,B26)</f>
        <v/>
      </c>
      <c r="C27" t="s">
        <v>100</v>
      </c>
    </row>
    <row r="28">
      <c r="A28" t="s">
        <v>101</v>
      </c>
      <c r="B28" s="15">
        <f>SUMIFS(tblProcessos[Valor da Causa],tblProcessos[Ativo],"Não")</f>
        <v/>
      </c>
      <c r="C28" t="s">
        <v>102</v>
      </c>
    </row>
    <row r="29">
      <c r="A29" t="s">
        <v>103</v>
      </c>
      <c r="B29" s="12">
        <f>COUNTIFS(tblProcessos[Ativo],"Não",tblProcessos[Valor Arbitrado em Juízo],"&lt;&gt;")+COUNTIFS(tblProcessos[Ativo],"Não",tblProcessos[Valor Arbitrado em Juízo],"",tblProcessos[Valor da Execução],"&lt;&gt;")</f>
        <v/>
      </c>
      <c r="C29" t="s">
        <v>104</v>
      </c>
    </row>
    <row r="30">
      <c r="A30" t="s">
        <v>105</v>
      </c>
      <c r="B30" s="12">
        <f>B5-B29</f>
        <v/>
      </c>
      <c r="C30" t="s">
        <v>106</v>
      </c>
    </row>
    <row r="31">
      <c r="A31" t="s">
        <v>107</v>
      </c>
      <c r="B31" s="15">
        <f>SUMIFS(tblProcessos[Valor da Causa],tblProcessos[Ativo],"Não",tblProcessos[Valor Arbitrado em Juízo],"&lt;&gt;")+SUMIFS(tblProcessos[Valor da Causa],tblProcessos[Ativo],"Não",tblProcessos[Valor Arbitrado em Juízo],"",tblProcessos[Valor da Execução],"&lt;&gt;")</f>
        <v/>
      </c>
      <c r="C31" t="s">
        <v>108</v>
      </c>
    </row>
    <row r="32">
      <c r="A32" t="s">
        <v>109</v>
      </c>
      <c r="B32" s="15">
        <f>SUMIFS(tblProcessos[Valor Arbitrado em Juízo],tblProcessos[Ativo],"Não")+SUMIFS(tblProcessos[Valor da Execução],tblProcessos[Ativo],"Não",tblProcessos[Valor Arbitrado em Juízo],"")</f>
        <v/>
      </c>
      <c r="C32" t="s">
        <v>110</v>
      </c>
    </row>
    <row r="33">
      <c r="A33" t="s">
        <v>111</v>
      </c>
      <c r="B33" s="15">
        <f>B31-B32</f>
        <v/>
      </c>
      <c r="C33" t="s">
        <v>112</v>
      </c>
    </row>
    <row r="35">
      <c r="A35" s="11" t="s">
        <v>113</v>
      </c>
    </row>
    <row r="36">
      <c r="A36" t="s">
        <v>114</v>
      </c>
      <c r="B36" s="15">
        <f>SUM(tblProcessos[Passivo Potencial])</f>
        <v/>
      </c>
      <c r="C36" t="s">
        <v>115</v>
      </c>
    </row>
    <row r="37">
      <c r="A37" t="s">
        <v>116</v>
      </c>
      <c r="B37" s="15">
        <f>SUMIFS(tblProcessos[Passivo Potencial],tblProcessos[Ativo],"Sim")</f>
        <v/>
      </c>
      <c r="C37" t="s">
        <v>117</v>
      </c>
    </row>
    <row r="38">
      <c r="A38" t="s">
        <v>118</v>
      </c>
      <c r="B38" s="15">
        <f>SUM(tblProcessos[Passivo Potencial Atualizado])</f>
        <v/>
      </c>
      <c r="C38" t="s">
        <v>119</v>
      </c>
    </row>
    <row r="39">
      <c r="A39" t="s">
        <v>120</v>
      </c>
      <c r="B39" s="15">
        <f>SUM(tblProcessos[Provisão Constituída])</f>
        <v/>
      </c>
      <c r="C39" t="s">
        <v>121</v>
      </c>
    </row>
    <row r="40">
      <c r="A40" t="s">
        <v>122</v>
      </c>
      <c r="B40" s="15">
        <f>SUM(tblProcessos[Ativo Potencial])</f>
        <v/>
      </c>
      <c r="C40" t="s">
        <v>123</v>
      </c>
    </row>
    <row r="41">
      <c r="A41" t="s">
        <v>124</v>
      </c>
      <c r="B41" s="15">
        <f>SUMIFS(tblProcessos[Passivo Potencial],tblProcessos[Probabilidade],"Remota",tblProcessos[Ativo],"Sim")</f>
        <v/>
      </c>
      <c r="C41" t="s">
        <v>125</v>
      </c>
    </row>
    <row r="42">
      <c r="A42" t="s">
        <v>126</v>
      </c>
      <c r="B42" s="15">
        <f>SUMIFS(tblProcessos[Passivo Potencial],tblProcessos[Probabilidade],"Possível",tblProcessos[Ativo],"Sim")</f>
        <v/>
      </c>
      <c r="C42" t="s">
        <v>127</v>
      </c>
    </row>
    <row r="43">
      <c r="A43" t="s">
        <v>128</v>
      </c>
      <c r="B43" s="15">
        <f>SUMIFS(tblProcessos[Passivo Potencial],tblProcessos[Probabilidade],"Provável",tblProcessos[Ativo],"Sim")</f>
        <v/>
      </c>
      <c r="C43" t="s">
        <v>129</v>
      </c>
    </row>
    <row r="44">
      <c r="A44" t="s">
        <v>130</v>
      </c>
      <c r="B44" s="12">
        <f>COUNTIFS(tblProcessos[[Depósito Judicial Realizado?]],"Sim")</f>
        <v/>
      </c>
      <c r="C44" t="s">
        <v>131</v>
      </c>
    </row>
    <row r="45">
      <c r="A45" t="s">
        <v>132</v>
      </c>
      <c r="B45" s="15">
        <f>SUM(tblProcessos[Depósitos Recursais])</f>
        <v/>
      </c>
      <c r="C45" t="s">
        <v>133</v>
      </c>
    </row>
    <row r="46">
      <c r="A46" t="s">
        <v>134</v>
      </c>
      <c r="B46" s="15">
        <f>SUM(tblProcessos[Pagamento Realizado])</f>
        <v/>
      </c>
      <c r="C46" t="s">
        <v>135</v>
      </c>
    </row>
    <row r="47">
      <c r="A47" t="s">
        <v>136</v>
      </c>
      <c r="B47" s="15">
        <f>SUM(tblProcessos[Valor Economizado])</f>
        <v/>
      </c>
      <c r="C47" t="s">
        <v>137</v>
      </c>
    </row>
    <row r="49">
      <c r="A49" s="11" t="s">
        <v>138</v>
      </c>
      <c r="B49" s="9" t="s">
        <v>139</v>
      </c>
    </row>
    <row r="50">
      <c r="A50" t="s">
        <v>13</v>
      </c>
      <c r="B50" s="12">
        <f>COUNTIFS(tblProcessos[Situação],A50)</f>
        <v/>
      </c>
    </row>
    <row r="51">
      <c r="A51" t="s">
        <v>140</v>
      </c>
      <c r="B51" s="12">
        <f>COUNTIFS(tblProcessos[Situação],A51)</f>
        <v/>
      </c>
    </row>
    <row r="52">
      <c r="A52" t="s">
        <v>141</v>
      </c>
      <c r="B52" s="12">
        <f>COUNTIFS(tblProcessos[Situação],A52)</f>
        <v/>
      </c>
    </row>
    <row r="54">
      <c r="A54" s="11" t="s">
        <v>142</v>
      </c>
      <c r="B54" s="9" t="s">
        <v>139</v>
      </c>
    </row>
    <row r="55">
      <c r="A55" t="s">
        <v>143</v>
      </c>
      <c r="B55" s="12">
        <f>COUNTIFS(tblProcessos[Resultado],A55)</f>
        <v/>
      </c>
    </row>
    <row r="56">
      <c r="A56" t="s">
        <v>144</v>
      </c>
      <c r="B56" s="12">
        <f>COUNTIFS(tblProcessos[Resultado],A56)</f>
        <v/>
      </c>
    </row>
    <row r="57">
      <c r="A57" t="s">
        <v>145</v>
      </c>
      <c r="B57" s="12">
        <f>COUNTIFS(tblProcessos[Resultado],A57)</f>
        <v/>
      </c>
    </row>
    <row r="58">
      <c r="A58" t="s">
        <v>146</v>
      </c>
      <c r="B58" s="12">
        <f>COUNTIFS(tblProcessos[Resultado],A58)</f>
        <v/>
      </c>
    </row>
    <row r="59">
      <c r="A59" t="s">
        <v>147</v>
      </c>
      <c r="B59" s="12">
        <f>COUNTIFS(tblProcessos[Resultado],A59)</f>
        <v/>
      </c>
    </row>
    <row r="60">
      <c r="A60" t="s">
        <v>148</v>
      </c>
      <c r="B60" s="12">
        <f>COUNTIFS(tblProcessos[Resultado],A60)</f>
        <v/>
      </c>
    </row>
    <row r="61">
      <c r="A61" t="s">
        <v>149</v>
      </c>
      <c r="B61" s="12">
        <f>COUNTIFS(tblProcessos[Resultado],A61)</f>
        <v/>
      </c>
    </row>
    <row r="63">
      <c r="A63" s="11" t="s">
        <v>150</v>
      </c>
      <c r="B63" s="9" t="s">
        <v>139</v>
      </c>
    </row>
    <row r="64">
      <c r="A64" t="s">
        <v>151</v>
      </c>
      <c r="B64" s="12">
        <f>COUNTIFS(tblProcessos[Área do Direito],A64)</f>
        <v/>
      </c>
    </row>
    <row r="65">
      <c r="A65" t="s">
        <v>152</v>
      </c>
      <c r="B65" s="12">
        <f>COUNTIFS(tblProcessos[Área do Direito],A65)</f>
        <v/>
      </c>
    </row>
    <row r="66">
      <c r="A66" t="s">
        <v>153</v>
      </c>
      <c r="B66" s="12">
        <f>COUNTIFS(tblProcessos[Área do Direito],A66)</f>
        <v/>
      </c>
    </row>
    <row r="67">
      <c r="A67" t="s">
        <v>154</v>
      </c>
      <c r="B67" s="12">
        <f>COUNTIFS(tblProcessos[Área do Direito],A67)</f>
        <v/>
      </c>
    </row>
    <row r="68">
      <c r="A68" t="s">
        <v>155</v>
      </c>
      <c r="B68" s="12">
        <f>COUNTIFS(tblProcessos[Área do Direito],A68)</f>
        <v/>
      </c>
    </row>
    <row r="69">
      <c r="A69" t="s">
        <v>156</v>
      </c>
      <c r="B69" s="12">
        <f>COUNTIFS(tblProcessos[Área do Direito],A69)</f>
        <v/>
      </c>
    </row>
    <row r="70">
      <c r="A70" t="s">
        <v>157</v>
      </c>
      <c r="B70" s="12">
        <f>COUNTIFS(tblProcessos[Área do Direito],A70)</f>
        <v/>
      </c>
    </row>
    <row r="71">
      <c r="A71" t="s">
        <v>158</v>
      </c>
      <c r="B71" s="12">
        <f>COUNTIFS(tblProcessos[Área do Direito],A71)</f>
        <v/>
      </c>
    </row>
    <row r="72">
      <c r="A72" t="s">
        <v>159</v>
      </c>
      <c r="B72" s="12">
        <f>COUNTIFS(tblProcessos[Área do Direito],A72)</f>
        <v/>
      </c>
    </row>
    <row r="73">
      <c r="A73" t="s">
        <v>160</v>
      </c>
      <c r="B73" s="12">
        <f>COUNTIFS(tblProcessos[Área do Direito],A73)</f>
        <v/>
      </c>
    </row>
    <row r="74">
      <c r="A74" t="s">
        <v>161</v>
      </c>
      <c r="B74" s="12">
        <f>COUNTIFS(tblProcessos[Área do Direito],A74)</f>
        <v/>
      </c>
    </row>
    <row r="75">
      <c r="A75" t="s">
        <v>162</v>
      </c>
      <c r="B75" s="12">
        <f>COUNTIFS(tblProcessos[Área do Direito],A75)</f>
        <v/>
      </c>
    </row>
    <row r="77">
      <c r="A77" s="11" t="s">
        <v>163</v>
      </c>
      <c r="B77" s="9" t="s">
        <v>139</v>
      </c>
    </row>
    <row r="78">
      <c r="A78" t="s">
        <v>164</v>
      </c>
      <c r="B78" s="12">
        <f>COUNTIFS(tblProcessos[Probabilidade],A78)</f>
        <v/>
      </c>
    </row>
    <row r="79">
      <c r="A79" t="s">
        <v>165</v>
      </c>
      <c r="B79" s="12">
        <f>COUNTIFS(tblProcessos[Probabilidade],A79)</f>
        <v/>
      </c>
    </row>
    <row r="80">
      <c r="A80" t="s">
        <v>166</v>
      </c>
      <c r="B80" s="12">
        <f>COUNTIFS(tblProcessos[Probabilidade],A80)</f>
        <v/>
      </c>
    </row>
    <row r="82">
      <c r="A82" s="11" t="s">
        <v>167</v>
      </c>
      <c r="B82" s="9" t="s">
        <v>168</v>
      </c>
    </row>
    <row r="83">
      <c r="A83" t="s">
        <v>164</v>
      </c>
      <c r="B83" s="15">
        <f>SUMIFS(tblProcessos[Passivo Potencial],tblProcessos[Probabilidade],A83,tblProcessos[Ativo],"Sim")</f>
        <v/>
      </c>
    </row>
    <row r="84">
      <c r="A84" t="s">
        <v>165</v>
      </c>
      <c r="B84" s="15">
        <f>SUMIFS(tblProcessos[Passivo Potencial],tblProcessos[Probabilidade],A84,tblProcessos[Ativo],"Sim")</f>
        <v/>
      </c>
    </row>
    <row r="85">
      <c r="A85" t="s">
        <v>166</v>
      </c>
      <c r="B85" s="15">
        <f>SUMIFS(tblProcessos[Passivo Potencial],tblProcessos[Probabilidade],A85,tblProcessos[Ativo],"Sim")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22" customWidth="1" min="3" max="3"/>
    <col width="4" customWidth="1" min="4" max="4"/>
    <col width="22" customWidth="1" min="5" max="5"/>
    <col width="4" customWidth="1" min="6" max="6"/>
    <col width="22" customWidth="1" min="7" max="7"/>
    <col width="4" customWidth="1" min="8" max="8"/>
    <col width="22" customWidth="1" min="9" max="9"/>
    <col width="4" customWidth="1" min="10" max="10"/>
    <col width="22" customWidth="1" min="11" max="11"/>
    <col width="4" customWidth="1" min="12" max="12"/>
  </cols>
  <sheetData>
    <row r="1">
      <c r="A1" s="16" t="s">
        <v>169</v>
      </c>
    </row>
    <row r="3">
      <c r="A3" s="17" t="s">
        <v>139</v>
      </c>
      <c r="C3" s="17" t="s">
        <v>170</v>
      </c>
      <c r="E3" s="17" t="s">
        <v>92</v>
      </c>
      <c r="G3" s="17" t="s">
        <v>111</v>
      </c>
      <c r="I3" s="17" t="s">
        <v>171</v>
      </c>
      <c r="K3" s="17" t="s">
        <v>172</v>
      </c>
    </row>
    <row r="4">
      <c r="A4" s="18">
        <f>Indicadores!B3</f>
        <v/>
      </c>
      <c r="C4" s="18">
        <f>Indicadores!B4</f>
        <v/>
      </c>
      <c r="E4" s="19">
        <f>Indicadores!B22</f>
        <v/>
      </c>
      <c r="G4" s="20">
        <f>Indicadores!B33</f>
        <v/>
      </c>
      <c r="I4" s="20">
        <f>Indicadores!B36</f>
        <v/>
      </c>
      <c r="K4" s="20">
        <f>Indicadores!B39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1" t="s">
        <v>173</v>
      </c>
      <c r="B1" s="21" t="s">
        <v>60</v>
      </c>
      <c r="C1" s="21" t="s">
        <v>62</v>
      </c>
      <c r="D1" s="21" t="s">
        <v>64</v>
      </c>
      <c r="E1" s="21" t="s">
        <v>174</v>
      </c>
      <c r="F1" s="21" t="s">
        <v>175</v>
      </c>
      <c r="G1" s="21" t="s">
        <v>136</v>
      </c>
    </row>
    <row r="2">
      <c r="A2" s="3" t="n"/>
      <c r="B2" s="6" t="n"/>
      <c r="C2" s="6" t="n"/>
      <c r="D2" s="6" t="n"/>
      <c r="E2" s="5" t="n"/>
      <c r="F2" s="5" t="n"/>
      <c r="G2" s="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3" customWidth="1" min="3" max="3"/>
    <col width="10" customWidth="1" min="4" max="4"/>
    <col width="12" customWidth="1" min="5" max="5"/>
    <col width="46" customWidth="1" min="6" max="6"/>
    <col width="90" customWidth="1" min="7" max="7"/>
  </cols>
  <sheetData>
    <row r="1">
      <c r="A1" s="21" t="s">
        <v>176</v>
      </c>
      <c r="B1" s="21" t="s">
        <v>177</v>
      </c>
      <c r="C1" s="21" t="s">
        <v>178</v>
      </c>
      <c r="D1" s="21" t="s">
        <v>179</v>
      </c>
      <c r="E1" s="21" t="s">
        <v>180</v>
      </c>
      <c r="F1" s="21" t="s">
        <v>181</v>
      </c>
      <c r="G1" s="21" t="s">
        <v>182</v>
      </c>
    </row>
    <row r="2">
      <c r="C2" s="12" t="n"/>
      <c r="D2" s="12" t="n"/>
      <c r="E2" s="2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70" customWidth="1" min="3" max="3"/>
  </cols>
  <sheetData>
    <row r="1">
      <c r="A1" s="21" t="s">
        <v>183</v>
      </c>
      <c r="B1" s="21" t="s">
        <v>184</v>
      </c>
      <c r="C1" s="21" t="s">
        <v>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Relatório de andamentos (modelo padrão)</dc:creator>
  <dcterms:created xmlns:dcterms="http://purl.org/dc/terms/" xmlns:xsi="http://www.w3.org/2001/XMLSchema-instance" xsi:type="dcterms:W3CDTF">2026-10-07T12:00:00Z</dcterms:created>
  <dcterms:modified xmlns:dcterms="http://purl.org/dc/terms/" xmlns:xsi="http://www.w3.org/2001/XMLSchema-instance" xsi:type="dcterms:W3CDTF">2026-10-07T12:00:00Z</dcterms:modified>
  <cp:lastModifiedBy>Relatório de andamentos (modelo padrão)</cp:lastModifiedBy>
</cp:coreProperties>
</file>